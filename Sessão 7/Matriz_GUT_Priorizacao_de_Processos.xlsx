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T" sheetId="1" state="visible" r:id="rId3"/>
    <sheet name="Pontuação dos Process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<sst xmlns="http://schemas.openxmlformats.org/spreadsheetml/2006/main" count="107" uniqueCount="85">
  <si>
    <t xml:space="preserve">Técnica: Gravidade, Urgência e Tendência (GUT)</t>
  </si>
  <si>
    <t xml:space="preserve">Matriz de priorização de estratégias, decisões e problemas de organizações e projetos</t>
  </si>
  <si>
    <t xml:space="preserve">DEFINIÇÃO</t>
  </si>
  <si>
    <t xml:space="preserve">GUT é a sigla para Gravidade, Urgência e Tendência.</t>
  </si>
  <si>
    <t xml:space="preserve">Ela é uma ferramenta utilizada na priorização das estratégias, tomadas de decisão e solução de problemas de organizações/projetos.</t>
  </si>
  <si>
    <t xml:space="preserve">A prioridade de cada item é o produto das três notas: Gravidade × Urgência × Tendência (resultado de 1 a 125).</t>
  </si>
  <si>
    <t xml:space="preserve">A matriz é geralmente atribuída a Charles Kepner e Benjamin Tregoe.</t>
  </si>
  <si>
    <t xml:space="preserve">MÉTODO</t>
  </si>
  <si>
    <t xml:space="preserve">Passo 1</t>
  </si>
  <si>
    <t xml:space="preserve">Listar forças;</t>
  </si>
  <si>
    <t xml:space="preserve">Passo 2</t>
  </si>
  <si>
    <t xml:space="preserve">Dar uma nota, de 1 a 5, para a gravidade de cada força;</t>
  </si>
  <si>
    <t xml:space="preserve">Passo 3</t>
  </si>
  <si>
    <t xml:space="preserve">Dar uma nota, de 1 a 5, para a urgência de cada força;</t>
  </si>
  <si>
    <t xml:space="preserve">Passo 4</t>
  </si>
  <si>
    <t xml:space="preserve">Dar uma nota, de 1 a 5, para a tendência de cada força;</t>
  </si>
  <si>
    <t xml:space="preserve">Passo 5</t>
  </si>
  <si>
    <t xml:space="preserve">Multiplicar os resultados (gravidade × urgência × tendência) de cada força;</t>
  </si>
  <si>
    <t xml:space="preserve">Passo 6</t>
  </si>
  <si>
    <t xml:space="preserve">Fazer a média dos resultados das forças;</t>
  </si>
  <si>
    <t xml:space="preserve">Passo 7</t>
  </si>
  <si>
    <t xml:space="preserve">Repetir os passos acima com as fraquezas, oportunidades e ameaças.</t>
  </si>
  <si>
    <t xml:space="preserve">Para reduzir a subjetividade das notas de "1 a 5", é sugerido o seguinte:</t>
  </si>
  <si>
    <t xml:space="preserve">Fator</t>
  </si>
  <si>
    <t xml:space="preserve">Nota</t>
  </si>
  <si>
    <t xml:space="preserve">Significado</t>
  </si>
  <si>
    <t xml:space="preserve">GRAVIDADE</t>
  </si>
  <si>
    <t xml:space="preserve">extremamente grave</t>
  </si>
  <si>
    <t xml:space="preserve">muito grave</t>
  </si>
  <si>
    <t xml:space="preserve">grave</t>
  </si>
  <si>
    <t xml:space="preserve">pouco grave</t>
  </si>
  <si>
    <t xml:space="preserve">sem gravidade</t>
  </si>
  <si>
    <t xml:space="preserve">URGÊNCIA</t>
  </si>
  <si>
    <t xml:space="preserve">precisa de ação imediata</t>
  </si>
  <si>
    <t xml:space="preserve">é urgente</t>
  </si>
  <si>
    <t xml:space="preserve">o mais rápido possível</t>
  </si>
  <si>
    <t xml:space="preserve">pouco urgente</t>
  </si>
  <si>
    <t xml:space="preserve">pode esperar</t>
  </si>
  <si>
    <t xml:space="preserve">TENDÊNCIA
("se nada for feito")</t>
  </si>
  <si>
    <t xml:space="preserve">...irá piorar rapidamente</t>
  </si>
  <si>
    <t xml:space="preserve">...irá piorar em pouco tempo</t>
  </si>
  <si>
    <t xml:space="preserve">...irá piorar</t>
  </si>
  <si>
    <t xml:space="preserve">...irá piorar a longo prazo</t>
  </si>
  <si>
    <t xml:space="preserve">...não irá mudar</t>
  </si>
  <si>
    <t xml:space="preserve">COMO LER O RESULTADO (PRIORIDADE = G × U × T)</t>
  </si>
  <si>
    <t xml:space="preserve">Nível</t>
  </si>
  <si>
    <t xml:space="preserve">Faixa de prioridade (valores sugeridos, editáveis na aba Pontuação dos Processos)</t>
  </si>
  <si>
    <t xml:space="preserve">Alta</t>
  </si>
  <si>
    <t xml:space="preserve">Média</t>
  </si>
  <si>
    <t xml:space="preserve">Baixa</t>
  </si>
  <si>
    <t xml:space="preserve">Máximo possível: 5 × 5 × 5 = 125. Mínimo: 1 × 1 × 1 = 1. Quanto maior o produto, maior a prioridade de tratamento.</t>
  </si>
  <si>
    <t xml:space="preserve">Pontuação dos Processos — Matriz GUT</t>
  </si>
  <si>
    <t xml:space="preserve">Preencha as notas (1 a 5) nas células com fundo azul. Prioridade, ranking e nível são calculados automaticamente.</t>
  </si>
  <si>
    <t xml:space="preserve">PROCESSOS AVALIADOS</t>
  </si>
  <si>
    <t xml:space="preserve">CONTEXTO ESTRATÉGICO</t>
  </si>
  <si>
    <t xml:space="preserve">Nº</t>
  </si>
  <si>
    <t xml:space="preserve">Processo</t>
  </si>
  <si>
    <t xml:space="preserve">Gravidade</t>
  </si>
  <si>
    <t xml:space="preserve">Urgência</t>
  </si>
  <si>
    <t xml:space="preserve">Tendência</t>
  </si>
  <si>
    <t xml:space="preserve">PRIORIDADE</t>
  </si>
  <si>
    <t xml:space="preserve">Ranking</t>
  </si>
  <si>
    <t xml:space="preserve">Objetivos Estratégicos</t>
  </si>
  <si>
    <t xml:space="preserve">Criar Produto</t>
  </si>
  <si>
    <t xml:space="preserve">1.  Aumentar a oferta de produtos diferenciados</t>
  </si>
  <si>
    <t xml:space="preserve">Vender Produtos</t>
  </si>
  <si>
    <t xml:space="preserve">2.  Minimizar os custos da cadeia produtiva</t>
  </si>
  <si>
    <t xml:space="preserve">Pagar Fornecedores</t>
  </si>
  <si>
    <t xml:space="preserve">3.  Aumentar o Market Share na venda de notebooks nacionais</t>
  </si>
  <si>
    <t xml:space="preserve">Gerenciar Estoques</t>
  </si>
  <si>
    <t xml:space="preserve">Os processos são avaliados pelo impacto que têm sobre estes objetivos.</t>
  </si>
  <si>
    <t xml:space="preserve">COMO PREENCHER</t>
  </si>
  <si>
    <t xml:space="preserve">Definição</t>
  </si>
  <si>
    <t xml:space="preserve">Células azuis = notas a preencher (inteiros de 1 a 5). Cinzas = cálculo automático.</t>
  </si>
  <si>
    <t xml:space="preserve">É o fator de impacto financeiro ou qualquer outro dependendo do objetivo da organização.</t>
  </si>
  <si>
    <t xml:space="preserve">Ex.</t>
  </si>
  <si>
    <t xml:space="preserve">Exemplo (não entra no ranking)</t>
  </si>
  <si>
    <t xml:space="preserve">—</t>
  </si>
  <si>
    <t xml:space="preserve">NÍVEL DE PRIORIDADE (PARÂMETROS SUGERIDOS — EDITÁVEIS)</t>
  </si>
  <si>
    <t xml:space="preserve">Nível ALTA quando a prioridade for maior ou igual a:</t>
  </si>
  <si>
    <t xml:space="preserve">abaixo disso: BAIXA</t>
  </si>
  <si>
    <t xml:space="preserve">Nível MÉDIA quando a prioridade for maior ou igual a:</t>
  </si>
  <si>
    <t xml:space="preserve">É o fator de tempo.</t>
  </si>
  <si>
    <t xml:space="preserve">Premissa do modelo (fora da técnica original): 27 = 3×3×3 e 64 = 4×4×4. Ajuste conforme a organização.</t>
  </si>
  <si>
    <t xml:space="preserve">É o fator de tendência (padrão de desenvolvimento).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</si>
</sst>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2A7F8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2A7F8E"/>
        <bgColor rgb="FF008080"/>
      </patternFill>
    </fill>
    <fill>
      <patternFill patternType="solid">
        <fgColor rgb="FFF3F4F6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AF2F8"/>
        <bgColor rgb="FFF3F4F6"/>
      </patternFill>
    </fill>
    <fill>
      <patternFill patternType="solid">
        <fgColor rgb="FFF8C9C4"/>
        <bgColor rgb="FFFCE0B8"/>
      </patternFill>
    </fill>
    <fill>
      <patternFill patternType="solid">
        <fgColor rgb="FFFCE0B8"/>
        <bgColor rgb="FFFFF2CC"/>
      </patternFill>
    </fill>
    <fill>
      <patternFill patternType="solid">
        <fgColor rgb="FFFFF2CC"/>
        <bgColor rgb="FFEAF3C8"/>
      </patternFill>
    </fill>
    <fill>
      <patternFill patternType="solid">
        <fgColor rgb="FFEAF3C8"/>
        <bgColor rgb="FFDFF0D8"/>
      </patternFill>
    </fill>
    <fill>
      <patternFill patternType="solid">
        <fgColor rgb="FFDFF0D8"/>
        <bgColor rgb="FFEAF3C8"/>
      </patternFill>
    </fill>
    <fill>
      <patternFill patternType="solid">
        <fgColor rgb="FFDDEBF7"/>
        <bgColor rgb="FFEAF2F8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C9C4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DFF0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2A7F8E"/>
      <rgbColor rgb="FFBFC7D1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FF0D8"/>
      <rgbColor rgb="FFEAF3C8"/>
      <rgbColor rgb="FFF3F4F6"/>
      <rgbColor rgb="FFFCE0B8"/>
      <rgbColor rgb="FFF9F9F9"/>
      <rgbColor rgb="FFF8C9C4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Prioridade GUT por processo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'Pontuação dos Processos'!G5</c:f>
              <c:strCache>
                <c:ptCount val="1"/>
                <c:pt idx="0">
                  <c:v>PRIORIDADE</c:v>
                </c:pt>
              </c:strCache>
            </c:strRef>
          </c:tx>
          <c:spPr>
            <a:solidFill>
              <a:srgbClr val="2a7f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'Pontuação dos Processos'!$C$6:$C$9</c:f>
              <c:strCache>
                <c:ptCount val="4"/>
                <c:pt idx="0">
                  <c:v>Criar Produto</c:v>
                </c:pt>
                <c:pt idx="1">
                  <c:v>Vender Produtos</c:v>
                </c:pt>
                <c:pt idx="2">
                  <c:v>Pagar Fornecedores</c:v>
                </c:pt>
                <c:pt idx="3">
                  <c:v>Gerenciar Estoques</c:v>
                </c:pt>
              </c:strCache>
            </c:strRef>
          </c:cat>
          <c:val>
            <c:numRef>
              <c:f>'Pontuação dos Processos'!$G$6:$G$9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3767124"/>
        <c:axId val="81783854"/>
      </c:barChart>
      <c:catAx>
        <c:axId val="337671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3854"/>
        <c:crosses val="autoZero"/>
        <c:auto val="1"/>
        <c:lblAlgn val="ctr"/>
        <c:lblOffset val="100"/>
        <c:noMultiLvlLbl val="0"/>
      </c:catAx>
      <c:valAx>
        <c:axId val="81783854"/>
        <c:scaling>
          <c:orientation val="minMax"/>
          <c:max val="12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Prioridade (1 a 125)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7124"/>
        <c:crosses val="autoZero"/>
        <c:crossBetween val="between"/>
        <c:majorUnit val="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1013040</xdr:colOff>
      <xdr:row>28</xdr:row>
      <xdr:rowOff>213480</xdr:rowOff>
    </xdr:to>
    <xdr:graphicFrame>
      <xdr:nvGraphicFramePr>
        <xdr:cNvPr id="0" name="Chart 1"/>
        <xdr:cNvGraphicFramePr/>
      </xdr:nvGraphicFramePr>
      <xdr:xfrm>
        <a:off x="211320" y="5448240"/>
        <a:ext cx="62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84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19.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21.75" hidden="false" customHeight="true" outlineLevel="0" collapsed="false">
      <c r="B6" s="4" t="s">
        <v>3</v>
      </c>
      <c r="C6" s="4"/>
      <c r="D6" s="4"/>
    </row>
    <row r="7" customFormat="false" ht="31.5" hidden="false" customHeight="true" outlineLevel="0" collapsed="false">
      <c r="B7" s="5" t="s">
        <v>4</v>
      </c>
      <c r="C7" s="5"/>
      <c r="D7" s="5"/>
    </row>
    <row r="8" customFormat="false" ht="31.5" hidden="false" customHeight="true" outlineLevel="0" collapsed="false">
      <c r="B8" s="4" t="s">
        <v>5</v>
      </c>
      <c r="C8" s="4"/>
      <c r="D8" s="4"/>
    </row>
    <row r="9" customFormat="false" ht="21.75" hidden="false" customHeight="true" outlineLevel="0" collapsed="false">
      <c r="B9" s="5" t="s">
        <v>6</v>
      </c>
      <c r="C9" s="5"/>
      <c r="D9" s="5"/>
    </row>
    <row r="11" customFormat="false" ht="19.5" hidden="false" customHeight="true" outlineLevel="0" collapsed="false">
      <c r="B11" s="3" t="s">
        <v>7</v>
      </c>
      <c r="C11" s="3"/>
      <c r="D11" s="3"/>
    </row>
    <row r="12" customFormat="false" ht="19.5" hidden="false" customHeight="true" outlineLevel="0" collapsed="false">
      <c r="B12" s="6" t="s">
        <v>8</v>
      </c>
      <c r="C12" s="7" t="s">
        <v>9</v>
      </c>
      <c r="D12" s="7"/>
    </row>
    <row r="13" customFormat="false" ht="19.5" hidden="false" customHeight="true" outlineLevel="0" collapsed="false">
      <c r="B13" s="8" t="s">
        <v>10</v>
      </c>
      <c r="C13" s="9" t="s">
        <v>11</v>
      </c>
      <c r="D13" s="9"/>
    </row>
    <row r="14" customFormat="false" ht="19.5" hidden="false" customHeight="true" outlineLevel="0" collapsed="false">
      <c r="B14" s="6" t="s">
        <v>12</v>
      </c>
      <c r="C14" s="7" t="s">
        <v>13</v>
      </c>
      <c r="D14" s="7"/>
    </row>
    <row r="15" customFormat="false" ht="19.5" hidden="false" customHeight="true" outlineLevel="0" collapsed="false">
      <c r="B15" s="8" t="s">
        <v>14</v>
      </c>
      <c r="C15" s="9" t="s">
        <v>15</v>
      </c>
      <c r="D15" s="9"/>
    </row>
    <row r="16" customFormat="false" ht="19.5" hidden="false" customHeight="true" outlineLevel="0" collapsed="false">
      <c r="B16" s="6" t="s">
        <v>16</v>
      </c>
      <c r="C16" s="7" t="s">
        <v>17</v>
      </c>
      <c r="D16" s="7"/>
    </row>
    <row r="17" customFormat="false" ht="19.5" hidden="false" customHeight="true" outlineLevel="0" collapsed="false">
      <c r="B17" s="8" t="s">
        <v>18</v>
      </c>
      <c r="C17" s="9" t="s">
        <v>19</v>
      </c>
      <c r="D17" s="9"/>
    </row>
    <row r="18" customFormat="false" ht="19.5" hidden="false" customHeight="true" outlineLevel="0" collapsed="false">
      <c r="B18" s="6" t="s">
        <v>20</v>
      </c>
      <c r="C18" s="7" t="s">
        <v>21</v>
      </c>
      <c r="D18" s="7"/>
    </row>
    <row r="20" customFormat="false" ht="24" hidden="false" customHeight="true" outlineLevel="0" collapsed="false">
      <c r="B20" s="10" t="s">
        <v>22</v>
      </c>
      <c r="C20" s="10"/>
      <c r="D20" s="10"/>
    </row>
    <row r="21" customFormat="false" ht="15" hidden="false" customHeight="false" outlineLevel="0" collapsed="false">
      <c r="B21" s="11" t="s">
        <v>23</v>
      </c>
      <c r="C21" s="11" t="s">
        <v>24</v>
      </c>
      <c r="D21" s="12" t="s">
        <v>25</v>
      </c>
    </row>
    <row r="22" customFormat="false" ht="18.75" hidden="false" customHeight="true" outlineLevel="0" collapsed="false">
      <c r="B22" s="13" t="s">
        <v>26</v>
      </c>
      <c r="C22" s="14" t="n">
        <v>5</v>
      </c>
      <c r="D22" s="15" t="s">
        <v>27</v>
      </c>
    </row>
    <row r="23" customFormat="false" ht="18.75" hidden="false" customHeight="true" outlineLevel="0" collapsed="false">
      <c r="B23" s="13"/>
      <c r="C23" s="16" t="n">
        <v>4</v>
      </c>
      <c r="D23" s="15" t="s">
        <v>28</v>
      </c>
    </row>
    <row r="24" customFormat="false" ht="18.75" hidden="false" customHeight="true" outlineLevel="0" collapsed="false">
      <c r="B24" s="13"/>
      <c r="C24" s="17" t="n">
        <v>3</v>
      </c>
      <c r="D24" s="15" t="s">
        <v>29</v>
      </c>
    </row>
    <row r="25" customFormat="false" ht="18.75" hidden="false" customHeight="true" outlineLevel="0" collapsed="false">
      <c r="B25" s="13"/>
      <c r="C25" s="18" t="n">
        <v>2</v>
      </c>
      <c r="D25" s="15" t="s">
        <v>30</v>
      </c>
    </row>
    <row r="26" customFormat="false" ht="18.75" hidden="false" customHeight="true" outlineLevel="0" collapsed="false">
      <c r="B26" s="13"/>
      <c r="C26" s="19" t="n">
        <v>1</v>
      </c>
      <c r="D26" s="15" t="s">
        <v>31</v>
      </c>
    </row>
    <row r="27" customFormat="false" ht="18.75" hidden="false" customHeight="true" outlineLevel="0" collapsed="false">
      <c r="B27" s="13" t="s">
        <v>32</v>
      </c>
      <c r="C27" s="14" t="n">
        <v>5</v>
      </c>
      <c r="D27" s="15" t="s">
        <v>33</v>
      </c>
    </row>
    <row r="28" customFormat="false" ht="18.75" hidden="false" customHeight="true" outlineLevel="0" collapsed="false">
      <c r="B28" s="13"/>
      <c r="C28" s="16" t="n">
        <v>4</v>
      </c>
      <c r="D28" s="15" t="s">
        <v>34</v>
      </c>
    </row>
    <row r="29" customFormat="false" ht="18.75" hidden="false" customHeight="true" outlineLevel="0" collapsed="false">
      <c r="B29" s="13"/>
      <c r="C29" s="17" t="n">
        <v>3</v>
      </c>
      <c r="D29" s="15" t="s">
        <v>35</v>
      </c>
    </row>
    <row r="30" customFormat="false" ht="18.75" hidden="false" customHeight="true" outlineLevel="0" collapsed="false">
      <c r="B30" s="13"/>
      <c r="C30" s="18" t="n">
        <v>2</v>
      </c>
      <c r="D30" s="15" t="s">
        <v>36</v>
      </c>
    </row>
    <row r="31" customFormat="false" ht="18.75" hidden="false" customHeight="true" outlineLevel="0" collapsed="false">
      <c r="B31" s="13"/>
      <c r="C31" s="19" t="n">
        <v>1</v>
      </c>
      <c r="D31" s="15" t="s">
        <v>37</v>
      </c>
    </row>
    <row r="32" customFormat="false" ht="18.75" hidden="false" customHeight="true" outlineLevel="0" collapsed="false">
      <c r="B32" s="13" t="s">
        <v>38</v>
      </c>
      <c r="C32" s="14" t="n">
        <v>5</v>
      </c>
      <c r="D32" s="15" t="s">
        <v>39</v>
      </c>
    </row>
    <row r="33" customFormat="false" ht="18.75" hidden="false" customHeight="true" outlineLevel="0" collapsed="false">
      <c r="B33" s="13"/>
      <c r="C33" s="16" t="n">
        <v>4</v>
      </c>
      <c r="D33" s="15" t="s">
        <v>40</v>
      </c>
    </row>
    <row r="34" customFormat="false" ht="18.75" hidden="false" customHeight="true" outlineLevel="0" collapsed="false">
      <c r="B34" s="13"/>
      <c r="C34" s="17" t="n">
        <v>3</v>
      </c>
      <c r="D34" s="15" t="s">
        <v>41</v>
      </c>
    </row>
    <row r="35" customFormat="false" ht="18.75" hidden="false" customHeight="true" outlineLevel="0" collapsed="false">
      <c r="B35" s="13"/>
      <c r="C35" s="18" t="n">
        <v>2</v>
      </c>
      <c r="D35" s="15" t="s">
        <v>42</v>
      </c>
    </row>
    <row r="36" customFormat="false" ht="18.75" hidden="false" customHeight="true" outlineLevel="0" collapsed="false">
      <c r="B36" s="13"/>
      <c r="C36" s="19" t="n">
        <v>1</v>
      </c>
      <c r="D36" s="15" t="s">
        <v>43</v>
      </c>
    </row>
    <row r="38" customFormat="false" ht="19.5" hidden="false" customHeight="true" outlineLevel="0" collapsed="false">
      <c r="B38" s="3" t="s">
        <v>44</v>
      </c>
      <c r="C38" s="3"/>
      <c r="D38" s="3"/>
    </row>
    <row r="39" customFormat="false" ht="15" hidden="false" customHeight="false" outlineLevel="0" collapsed="false">
      <c r="B39" s="11" t="s">
        <v>45</v>
      </c>
      <c r="C39" s="11"/>
      <c r="D39" s="12" t="s">
        <v>46</v>
      </c>
    </row>
    <row r="40" customFormat="false" ht="18.75" hidden="false" customHeight="true" outlineLevel="0" collapsed="false">
      <c r="B40" s="20" t="s">
        <v>47</v>
      </c>
      <c r="C40" s="20"/>
      <c r="D40" s="21" t="str">
        <f aca="false">"de "&amp;'Pontuação dos Processos'!$G$16&amp;" a 125  —  agir primeiro"</f>
        <v>de 64 a 125  —  agir primeiro</v>
      </c>
    </row>
    <row r="41" customFormat="false" ht="18.75" hidden="false" customHeight="true" outlineLevel="0" collapsed="false">
      <c r="B41" s="22" t="s">
        <v>48</v>
      </c>
      <c r="C41" s="22"/>
      <c r="D41" s="21" t="str">
        <f aca="false">"de "&amp;'Pontuação dos Processos'!$G$17&amp;" a "&amp;('Pontuação dos Processos'!$G$16-1)&amp;"  —  planejar a ação"</f>
        <v>de 27 a 63  —  planejar a ação</v>
      </c>
    </row>
    <row r="42" customFormat="false" ht="18.75" hidden="false" customHeight="true" outlineLevel="0" collapsed="false">
      <c r="B42" s="23" t="s">
        <v>49</v>
      </c>
      <c r="C42" s="23"/>
      <c r="D42" s="21" t="str">
        <f aca="false">"de 1 a "&amp;('Pontuação dos Processos'!$G$17-1)&amp;"  —  acompanhar"</f>
        <v>de 1 a 26  —  acompanhar</v>
      </c>
    </row>
    <row r="44" customFormat="false" ht="25.5" hidden="false" customHeight="true" outlineLevel="0" collapsed="false">
      <c r="B44" s="24" t="s">
        <v>50</v>
      </c>
      <c r="C44" s="24"/>
      <c r="D44" s="24"/>
    </row>
  </sheetData>
  <mergeCells count="25">
    <mergeCell ref="B2:D2"/>
    <mergeCell ref="B3:D3"/>
    <mergeCell ref="B5:D5"/>
    <mergeCell ref="B6:D6"/>
    <mergeCell ref="B7:D7"/>
    <mergeCell ref="B8:D8"/>
    <mergeCell ref="B9:D9"/>
    <mergeCell ref="B11:D11"/>
    <mergeCell ref="C12:D12"/>
    <mergeCell ref="C13:D13"/>
    <mergeCell ref="C14:D14"/>
    <mergeCell ref="C15:D15"/>
    <mergeCell ref="C16:D16"/>
    <mergeCell ref="C17:D17"/>
    <mergeCell ref="C18:D18"/>
    <mergeCell ref="B20:D20"/>
    <mergeCell ref="B22:B26"/>
    <mergeCell ref="B27:B31"/>
    <mergeCell ref="B32:B36"/>
    <mergeCell ref="B38:D38"/>
    <mergeCell ref="B39:C39"/>
    <mergeCell ref="B40:C40"/>
    <mergeCell ref="B41:C41"/>
    <mergeCell ref="B42:C42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F8E"/>
    <pageSetUpPr fitToPage="true"/>
  </sheetPr>
  <dimension ref="B2:N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20"/>
    <col collapsed="false" customWidth="true" hidden="false" outlineLevel="0" max="12" min="12" style="0" width="36"/>
    <col collapsed="false" customWidth="true" hidden="false" outlineLevel="0" max="13" min="13" style="0" width="7"/>
    <col collapsed="false" customWidth="true" hidden="false" outlineLevel="0" max="14" min="14" style="0" width="32"/>
  </cols>
  <sheetData>
    <row r="2" customFormat="false" ht="36" hidden="false" customHeight="true" outlineLevel="0" collapsed="false">
      <c r="B2" s="1" t="s">
        <v>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9.5" hidden="false" customHeight="true" outlineLevel="0" collapsed="false">
      <c r="B3" s="2" t="s">
        <v>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1.75" hidden="false" customHeight="true" outlineLevel="0" collapsed="false">
      <c r="B4" s="25" t="s">
        <v>53</v>
      </c>
      <c r="K4" s="25" t="s">
        <v>54</v>
      </c>
    </row>
    <row r="5" customFormat="false" ht="25.5" hidden="false" customHeight="true" outlineLevel="0" collapsed="false">
      <c r="B5" s="26" t="s">
        <v>55</v>
      </c>
      <c r="C5" s="26" t="s">
        <v>56</v>
      </c>
      <c r="D5" s="26" t="s">
        <v>57</v>
      </c>
      <c r="E5" s="26" t="s">
        <v>58</v>
      </c>
      <c r="F5" s="26" t="s">
        <v>59</v>
      </c>
      <c r="G5" s="26" t="s">
        <v>60</v>
      </c>
      <c r="H5" s="26" t="s">
        <v>61</v>
      </c>
      <c r="I5" s="26" t="s">
        <v>45</v>
      </c>
      <c r="K5" s="27" t="s">
        <v>62</v>
      </c>
      <c r="L5" s="27"/>
      <c r="M5" s="27"/>
      <c r="N5" s="27"/>
    </row>
    <row r="6" customFormat="false" ht="24" hidden="false" customHeight="true" outlineLevel="0" collapsed="false">
      <c r="B6" s="28" t="n">
        <v>1</v>
      </c>
      <c r="C6" s="15" t="s">
        <v>63</v>
      </c>
      <c r="D6" s="29"/>
      <c r="E6" s="29"/>
      <c r="F6" s="29"/>
      <c r="G6" s="30" t="n">
        <f aca="false">D6*E6*F6</f>
        <v>0</v>
      </c>
      <c r="H6" s="28" t="str">
        <f aca="false">IF(G6=0,"",RANK(G6,$G$6:$G$9,0))</f>
        <v/>
      </c>
      <c r="I6" s="28" t="str">
        <f aca="false">IF(G6=0,"",IF(G6&gt;=$G$16,"Alta",IF(G6&gt;=$G$17,"Média","Baixa")))</f>
        <v/>
      </c>
      <c r="K6" s="31" t="s">
        <v>64</v>
      </c>
      <c r="L6" s="31"/>
      <c r="M6" s="31"/>
      <c r="N6" s="31"/>
    </row>
    <row r="7" customFormat="false" ht="24" hidden="false" customHeight="true" outlineLevel="0" collapsed="false">
      <c r="B7" s="28" t="n">
        <v>2</v>
      </c>
      <c r="C7" s="15" t="s">
        <v>65</v>
      </c>
      <c r="D7" s="29"/>
      <c r="E7" s="29"/>
      <c r="F7" s="29"/>
      <c r="G7" s="30" t="n">
        <f aca="false">D7*E7*F7</f>
        <v>0</v>
      </c>
      <c r="H7" s="28" t="str">
        <f aca="false">IF(G7=0,"",RANK(G7,$G$6:$G$9,0))</f>
        <v/>
      </c>
      <c r="I7" s="28" t="str">
        <f aca="false">IF(G7=0,"",IF(G7&gt;=$G$16,"Alta",IF(G7&gt;=$G$17,"Média","Baixa")))</f>
        <v/>
      </c>
      <c r="K7" s="32" t="s">
        <v>66</v>
      </c>
      <c r="L7" s="32"/>
      <c r="M7" s="32"/>
      <c r="N7" s="32"/>
    </row>
    <row r="8" customFormat="false" ht="24" hidden="false" customHeight="true" outlineLevel="0" collapsed="false">
      <c r="B8" s="28" t="n">
        <v>3</v>
      </c>
      <c r="C8" s="15" t="s">
        <v>67</v>
      </c>
      <c r="D8" s="29"/>
      <c r="E8" s="29"/>
      <c r="F8" s="29"/>
      <c r="G8" s="30" t="n">
        <f aca="false">D8*E8*F8</f>
        <v>0</v>
      </c>
      <c r="H8" s="28" t="str">
        <f aca="false">IF(G8=0,"",RANK(G8,$G$6:$G$9,0))</f>
        <v/>
      </c>
      <c r="I8" s="28" t="str">
        <f aca="false">IF(G8=0,"",IF(G8&gt;=$G$16,"Alta",IF(G8&gt;=$G$17,"Média","Baixa")))</f>
        <v/>
      </c>
      <c r="K8" s="31" t="s">
        <v>68</v>
      </c>
      <c r="L8" s="31"/>
      <c r="M8" s="31"/>
      <c r="N8" s="31"/>
    </row>
    <row r="9" customFormat="false" ht="21.75" hidden="false" customHeight="true" outlineLevel="0" collapsed="false">
      <c r="B9" s="28" t="n">
        <v>4</v>
      </c>
      <c r="C9" s="15" t="s">
        <v>69</v>
      </c>
      <c r="D9" s="29"/>
      <c r="E9" s="29"/>
      <c r="F9" s="29"/>
      <c r="G9" s="30" t="n">
        <f aca="false">D9*E9*F9</f>
        <v>0</v>
      </c>
      <c r="H9" s="28" t="str">
        <f aca="false">IF(G9=0,"",RANK(G9,$G$6:$G$9,0))</f>
        <v/>
      </c>
      <c r="I9" s="28" t="str">
        <f aca="false">IF(G9=0,"",IF(G9&gt;=$G$16,"Alta",IF(G9&gt;=$G$17,"Média","Baixa")))</f>
        <v/>
      </c>
      <c r="K9" s="24" t="s">
        <v>70</v>
      </c>
      <c r="L9" s="24"/>
      <c r="M9" s="24"/>
      <c r="N9" s="24"/>
    </row>
    <row r="10" customFormat="false" ht="21.75" hidden="false" customHeight="true" outlineLevel="0" collapsed="false"/>
    <row r="11" customFormat="false" ht="21.75" hidden="false" customHeight="true" outlineLevel="0" collapsed="false">
      <c r="B11" s="3" t="s">
        <v>71</v>
      </c>
      <c r="C11" s="3"/>
      <c r="D11" s="3"/>
      <c r="E11" s="3"/>
      <c r="F11" s="3"/>
      <c r="G11" s="3"/>
      <c r="H11" s="3"/>
      <c r="I11" s="3"/>
      <c r="K11" s="26" t="s">
        <v>23</v>
      </c>
      <c r="L11" s="26" t="s">
        <v>72</v>
      </c>
      <c r="M11" s="26" t="s">
        <v>24</v>
      </c>
      <c r="N11" s="26" t="s">
        <v>25</v>
      </c>
    </row>
    <row r="12" customFormat="false" ht="21.75" hidden="false" customHeight="true" outlineLevel="0" collapsed="false">
      <c r="B12" s="33" t="s">
        <v>73</v>
      </c>
      <c r="C12" s="33"/>
      <c r="D12" s="33"/>
      <c r="E12" s="33"/>
      <c r="F12" s="33"/>
      <c r="G12" s="33"/>
      <c r="H12" s="33"/>
      <c r="I12" s="33"/>
      <c r="K12" s="13" t="s">
        <v>26</v>
      </c>
      <c r="L12" s="34" t="s">
        <v>74</v>
      </c>
      <c r="M12" s="14" t="n">
        <v>5</v>
      </c>
      <c r="N12" s="15" t="s">
        <v>27</v>
      </c>
    </row>
    <row r="13" customFormat="false" ht="21.75" hidden="false" customHeight="true" outlineLevel="0" collapsed="false">
      <c r="B13" s="35" t="s">
        <v>75</v>
      </c>
      <c r="C13" s="36" t="s">
        <v>76</v>
      </c>
      <c r="D13" s="37" t="n">
        <v>4</v>
      </c>
      <c r="E13" s="37" t="n">
        <v>3</v>
      </c>
      <c r="F13" s="37" t="n">
        <v>5</v>
      </c>
      <c r="G13" s="38" t="n">
        <f aca="false">D13*E13*F13</f>
        <v>60</v>
      </c>
      <c r="H13" s="35" t="s">
        <v>77</v>
      </c>
      <c r="I13" s="35" t="str">
        <f aca="false">IF(G13&gt;=$G$16,"Alta",IF(G13&gt;=$G$17,"Média","Baixa"))</f>
        <v>Média</v>
      </c>
      <c r="K13" s="13"/>
      <c r="L13" s="13"/>
      <c r="M13" s="16" t="n">
        <v>4</v>
      </c>
      <c r="N13" s="15" t="s">
        <v>28</v>
      </c>
    </row>
    <row r="14" customFormat="false" ht="21.75" hidden="false" customHeight="true" outlineLevel="0" collapsed="false">
      <c r="K14" s="13"/>
      <c r="L14" s="13"/>
      <c r="M14" s="17" t="n">
        <v>3</v>
      </c>
      <c r="N14" s="15" t="s">
        <v>29</v>
      </c>
    </row>
    <row r="15" customFormat="false" ht="21.75" hidden="false" customHeight="true" outlineLevel="0" collapsed="false">
      <c r="B15" s="3" t="s">
        <v>78</v>
      </c>
      <c r="C15" s="3"/>
      <c r="D15" s="3"/>
      <c r="E15" s="3"/>
      <c r="F15" s="3"/>
      <c r="G15" s="3"/>
      <c r="H15" s="3"/>
      <c r="I15" s="3"/>
      <c r="K15" s="13"/>
      <c r="L15" s="13"/>
      <c r="M15" s="18" t="n">
        <v>2</v>
      </c>
      <c r="N15" s="15" t="s">
        <v>30</v>
      </c>
    </row>
    <row r="16" customFormat="false" ht="21.75" hidden="false" customHeight="true" outlineLevel="0" collapsed="false">
      <c r="B16" s="15" t="s">
        <v>79</v>
      </c>
      <c r="C16" s="15"/>
      <c r="D16" s="15"/>
      <c r="E16" s="15"/>
      <c r="F16" s="15"/>
      <c r="G16" s="39" t="n">
        <v>64</v>
      </c>
      <c r="H16" s="40" t="s">
        <v>80</v>
      </c>
      <c r="I16" s="40"/>
      <c r="K16" s="13"/>
      <c r="L16" s="13"/>
      <c r="M16" s="19" t="n">
        <v>1</v>
      </c>
      <c r="N16" s="15" t="s">
        <v>31</v>
      </c>
    </row>
    <row r="17" customFormat="false" ht="21.75" hidden="false" customHeight="true" outlineLevel="0" collapsed="false">
      <c r="B17" s="15" t="s">
        <v>81</v>
      </c>
      <c r="C17" s="15"/>
      <c r="D17" s="15"/>
      <c r="E17" s="15"/>
      <c r="F17" s="15"/>
      <c r="G17" s="39" t="n">
        <v>27</v>
      </c>
      <c r="H17" s="40"/>
      <c r="I17" s="40"/>
      <c r="K17" s="13" t="s">
        <v>32</v>
      </c>
      <c r="L17" s="34" t="s">
        <v>82</v>
      </c>
      <c r="M17" s="14" t="n">
        <v>5</v>
      </c>
      <c r="N17" s="15" t="s">
        <v>33</v>
      </c>
    </row>
    <row r="18" customFormat="false" ht="21.75" hidden="false" customHeight="true" outlineLevel="0" collapsed="false">
      <c r="B18" s="24" t="s">
        <v>83</v>
      </c>
      <c r="C18" s="24"/>
      <c r="D18" s="24"/>
      <c r="E18" s="24"/>
      <c r="F18" s="24"/>
      <c r="G18" s="24"/>
      <c r="H18" s="24"/>
      <c r="I18" s="24"/>
      <c r="K18" s="13"/>
      <c r="L18" s="13"/>
      <c r="M18" s="16" t="n">
        <v>4</v>
      </c>
      <c r="N18" s="15" t="s">
        <v>34</v>
      </c>
    </row>
    <row r="19" customFormat="false" ht="21.75" hidden="false" customHeight="true" outlineLevel="0" collapsed="false">
      <c r="K19" s="13"/>
      <c r="L19" s="13"/>
      <c r="M19" s="17" t="n">
        <v>3</v>
      </c>
      <c r="N19" s="15" t="s">
        <v>35</v>
      </c>
    </row>
    <row r="20" customFormat="false" ht="21.75" hidden="false" customHeight="true" outlineLevel="0" collapsed="false">
      <c r="K20" s="13"/>
      <c r="L20" s="13"/>
      <c r="M20" s="18" t="n">
        <v>2</v>
      </c>
      <c r="N20" s="15" t="s">
        <v>36</v>
      </c>
    </row>
    <row r="21" customFormat="false" ht="21.75" hidden="false" customHeight="true" outlineLevel="0" collapsed="false">
      <c r="K21" s="13"/>
      <c r="L21" s="13"/>
      <c r="M21" s="19" t="n">
        <v>1</v>
      </c>
      <c r="N21" s="15" t="s">
        <v>37</v>
      </c>
    </row>
    <row r="22" customFormat="false" ht="21.75" hidden="false" customHeight="true" outlineLevel="0" collapsed="false">
      <c r="K22" s="13" t="s">
        <v>38</v>
      </c>
      <c r="L22" s="34" t="s">
        <v>84</v>
      </c>
      <c r="M22" s="14" t="n">
        <v>5</v>
      </c>
      <c r="N22" s="15" t="s">
        <v>39</v>
      </c>
    </row>
    <row r="23" customFormat="false" ht="21.75" hidden="false" customHeight="true" outlineLevel="0" collapsed="false">
      <c r="K23" s="13"/>
      <c r="L23" s="13"/>
      <c r="M23" s="16" t="n">
        <v>4</v>
      </c>
      <c r="N23" s="15" t="s">
        <v>40</v>
      </c>
    </row>
    <row r="24" customFormat="false" ht="21.75" hidden="false" customHeight="true" outlineLevel="0" collapsed="false">
      <c r="K24" s="13"/>
      <c r="L24" s="13"/>
      <c r="M24" s="17" t="n">
        <v>3</v>
      </c>
      <c r="N24" s="15" t="s">
        <v>41</v>
      </c>
    </row>
    <row r="25" customFormat="false" ht="21.75" hidden="false" customHeight="true" outlineLevel="0" collapsed="false">
      <c r="K25" s="13"/>
      <c r="L25" s="13"/>
      <c r="M25" s="18" t="n">
        <v>2</v>
      </c>
      <c r="N25" s="15" t="s">
        <v>42</v>
      </c>
    </row>
    <row r="26" customFormat="false" ht="21.75" hidden="false" customHeight="true" outlineLevel="0" collapsed="false">
      <c r="K26" s="13"/>
      <c r="L26" s="13"/>
      <c r="M26" s="19" t="n">
        <v>1</v>
      </c>
      <c r="N26" s="15" t="s">
        <v>43</v>
      </c>
    </row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</sheetData>
  <mergeCells count="20">
    <mergeCell ref="B2:N2"/>
    <mergeCell ref="B3:N3"/>
    <mergeCell ref="K5:N5"/>
    <mergeCell ref="K6:N6"/>
    <mergeCell ref="K7:N7"/>
    <mergeCell ref="K8:N8"/>
    <mergeCell ref="K9:N9"/>
    <mergeCell ref="B11:I11"/>
    <mergeCell ref="B12:I12"/>
    <mergeCell ref="K12:K16"/>
    <mergeCell ref="L12:L16"/>
    <mergeCell ref="B15:I15"/>
    <mergeCell ref="B16:F16"/>
    <mergeCell ref="H16:I17"/>
    <mergeCell ref="B17:F17"/>
    <mergeCell ref="K17:K21"/>
    <mergeCell ref="L17:L21"/>
    <mergeCell ref="B18:I18"/>
    <mergeCell ref="K22:K26"/>
    <mergeCell ref="L22:L26"/>
  </mergeCells>
  <conditionalFormatting sqref="I6:I9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dataValidations count="1">
    <dataValidation allowBlank="true" error="Informe um número inteiro de 1 a 5." errorStyle="stop" errorTitle="Nota inválida" operator="between" prompt="Use uma nota inteira de 1 a 5." promptTitle="Nota GUT" showDropDown="false" showErrorMessage="true" showInputMessage="true" sqref="D6:F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2026-10-15T09:02:54Z</dcterms:created>
  <dc:creator>openpyxl</dc:creator>
  <dc:description/>
  <dc:language>en-US</dc:language>
  <cp:lastModifiedBy/>
  <dcterms:modified xsi:type="dcterms:W3CDTF">2026-10-15T09:02:55Z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